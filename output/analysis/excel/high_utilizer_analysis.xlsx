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rfauziah/Desktop/"/>
    </mc:Choice>
  </mc:AlternateContent>
  <xr:revisionPtr revIDLastSave="0" documentId="13_ncr:9_{DFF3FA43-56C9-CB49-BE32-AFFE71317383}" xr6:coauthVersionLast="47" xr6:coauthVersionMax="47" xr10:uidLastSave="{00000000-0000-0000-0000-000000000000}"/>
  <bookViews>
    <workbookView xWindow="2780" yWindow="1580" windowWidth="28040" windowHeight="17180" xr2:uid="{F34688C6-3183-544D-9990-A16BF2498783}"/>
  </bookViews>
  <sheets>
    <sheet name="high_utilizer_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B32" i="1"/>
  <c r="B31" i="1"/>
  <c r="D2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  <c r="B33" i="1" s="1"/>
  <c r="E3" i="1" l="1"/>
  <c r="F2" i="1"/>
  <c r="E6" i="1"/>
  <c r="F6" i="1" s="1"/>
  <c r="E9" i="1"/>
  <c r="G9" i="1" s="1"/>
  <c r="E8" i="1"/>
  <c r="E15" i="1"/>
  <c r="E14" i="1"/>
  <c r="F14" i="1" s="1"/>
  <c r="E21" i="1"/>
  <c r="G21" i="1" s="1"/>
  <c r="E13" i="1"/>
  <c r="F13" i="1" s="1"/>
  <c r="E5" i="1"/>
  <c r="G5" i="1" s="1"/>
  <c r="E4" i="1"/>
  <c r="G4" i="1" s="1"/>
  <c r="E17" i="1"/>
  <c r="G17" i="1" s="1"/>
  <c r="E16" i="1"/>
  <c r="E7" i="1"/>
  <c r="E20" i="1"/>
  <c r="G20" i="1" s="1"/>
  <c r="E12" i="1"/>
  <c r="G12" i="1" s="1"/>
  <c r="E19" i="1"/>
  <c r="G19" i="1" s="1"/>
  <c r="E11" i="1"/>
  <c r="E18" i="1"/>
  <c r="G18" i="1" s="1"/>
  <c r="E10" i="1"/>
  <c r="G10" i="1" s="1"/>
  <c r="G2" i="1"/>
  <c r="G11" i="1"/>
  <c r="F4" i="1"/>
  <c r="G6" i="1" l="1"/>
  <c r="F5" i="1"/>
  <c r="F20" i="1"/>
  <c r="F10" i="1"/>
  <c r="G14" i="1"/>
  <c r="F9" i="1"/>
  <c r="F15" i="1"/>
  <c r="G15" i="1"/>
  <c r="F18" i="1"/>
  <c r="F8" i="1"/>
  <c r="G8" i="1"/>
  <c r="F11" i="1"/>
  <c r="F21" i="1"/>
  <c r="F17" i="1"/>
  <c r="F19" i="1"/>
  <c r="F3" i="1"/>
  <c r="G3" i="1"/>
  <c r="F16" i="1"/>
  <c r="G16" i="1"/>
  <c r="G13" i="1"/>
  <c r="F7" i="1"/>
  <c r="G7" i="1"/>
  <c r="F12" i="1"/>
</calcChain>
</file>

<file path=xl/sharedStrings.xml><?xml version="1.0" encoding="utf-8"?>
<sst xmlns="http://schemas.openxmlformats.org/spreadsheetml/2006/main" count="54" uniqueCount="54">
  <si>
    <t>patient_id</t>
  </si>
  <si>
    <t>total_encounters</t>
  </si>
  <si>
    <t>total_cost</t>
  </si>
  <si>
    <t>0791603d-1e48-b1f0-1302-4b1e2bfb72df</t>
  </si>
  <si>
    <t>623867.04</t>
  </si>
  <si>
    <t>9ff33281-87f9-7ca4-bb58-7e4e3297f8c0</t>
  </si>
  <si>
    <t>628578.01</t>
  </si>
  <si>
    <t>08be823f-231b-90d8-cb9b-f30463d8c64b</t>
  </si>
  <si>
    <t>471247.07</t>
  </si>
  <si>
    <t>394f3123-4778-1124-7b1c-66219a260849</t>
  </si>
  <si>
    <t>465992.78</t>
  </si>
  <si>
    <t>513a17e9-183e-418b-2ae7-be0f23a3caef</t>
  </si>
  <si>
    <t>463037.83</t>
  </si>
  <si>
    <t>5889d15d-8263-8396-470a-02d6f78efb19</t>
  </si>
  <si>
    <t>359872.48</t>
  </si>
  <si>
    <t>a7307164-8d0f-2f57-92c8-94e613ca60ab</t>
  </si>
  <si>
    <t>403342.09</t>
  </si>
  <si>
    <t>f192634d-52b8-dca3-2633-7874da88c2d9</t>
  </si>
  <si>
    <t>520830.02</t>
  </si>
  <si>
    <t>bfd60bf1-f85f-7f28-d7c0-c3b761d97de3</t>
  </si>
  <si>
    <t>299452.22</t>
  </si>
  <si>
    <t>69b27bcd-a230-1e3b-c9e6-0a32ccb41cc4</t>
  </si>
  <si>
    <t>2678634.18</t>
  </si>
  <si>
    <t>e671ea52-0e8d-cd44-66e9-f10f2d9bc885</t>
  </si>
  <si>
    <t>217272.25</t>
  </si>
  <si>
    <t>9f478f05-d7cf-4173-ef3a-6098cbe1600e</t>
  </si>
  <si>
    <t>182989.70</t>
  </si>
  <si>
    <t>4b0f58f6-c337-f3ce-b033-9393f296a60e</t>
  </si>
  <si>
    <t>280835.57</t>
  </si>
  <si>
    <t>455698fd-6ff3-1ce2-e75a-4022904583dd</t>
  </si>
  <si>
    <t>207600.11</t>
  </si>
  <si>
    <t>fe4cdf28-6bdc-17e8-91cb-3397315ce995</t>
  </si>
  <si>
    <t>199892.35</t>
  </si>
  <si>
    <t>3c02472c-fcbc-afb1-5ace-acda6f589f63</t>
  </si>
  <si>
    <t>622512.96</t>
  </si>
  <si>
    <t>02413545-cfbc-b731-f60f-f1a9ff92087d</t>
  </si>
  <si>
    <t>260478.68</t>
  </si>
  <si>
    <t>3f23e8cd-5d4a-dae7-6f8b-e726d5db3c14</t>
  </si>
  <si>
    <t>184752.13</t>
  </si>
  <si>
    <t>1334b456-9f07-31b0-deea-730d20ca57c2</t>
  </si>
  <si>
    <t>656296.32</t>
  </si>
  <si>
    <t>40981c2c-3014-6f8d-ebfe-611ad407607b</t>
  </si>
  <si>
    <t>229074.93</t>
  </si>
  <si>
    <t>total_cost_clean</t>
  </si>
  <si>
    <t>case_mgmt_priority</t>
  </si>
  <si>
    <t>cost_priority</t>
  </si>
  <si>
    <t>cost_nonpriority</t>
  </si>
  <si>
    <t>max cost</t>
  </si>
  <si>
    <t xml:space="preserve"> indicating a combination of high utilization and high costs. These patients are a high priority for the Case Management program because they have the potential to have the greatest impact on cost control and care coordination.</t>
  </si>
  <si>
    <t>Using the P75 threshold for visit frequency and cost, a small number of patients were identified in the upper right quadrant, indicating a combination of high utilization and high costs. These patients are a high priority for the Case Management program because they have the potential to have the greatest impact on cost control and care coordination.</t>
  </si>
  <si>
    <t>treshold_encounters (p75)</t>
  </si>
  <si>
    <t>threshold cost (p75)</t>
  </si>
  <si>
    <t>Utilization vs Cost: Identifying High-Need Patients (P75 Threshold)</t>
  </si>
  <si>
    <t>Each point represents an individual patient. Patients in the upper-right quadrant (above the 75th percentile for both utilization and cost) are prioritized for case management interventions.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</si>
</sst>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p&quot;#,##0"/>
    <numFmt numFmtId="165" formatCode="_([$$-409]* #,##0.00_);_([$$-409]* \(#,##0.00\);_([$$-409]* &quot;-&quot;??_);_(@_)"/>
    <numFmt numFmtId="168" formatCode="[$$-409]#,##0"/>
  </numFmts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rgb="FF000000"/>
      <name val="-webkit-standard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8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8" formatCode="[$$-409]#,##0"/>
    </dxf>
    <dxf>
      <numFmt numFmtId="168" formatCode="[$$-409]#,##0"/>
    </dxf>
    <dxf>
      <numFmt numFmtId="0" formatCode="General"/>
    </dxf>
    <dxf>
      <numFmt numFmtId="168" formatCode="[$$-409]#,##0"/>
    </dxf>
    <dxf>
      <numFmt numFmtId="164" formatCode="&quot;Rp&quot;#,##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>
                <a:effectLst/>
              </a:rPr>
              <a:t>Utilization vs Cost: Identifying High-Need Patients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high_utilizer_analysis!$D$1</c:f>
              <c:strCache>
                <c:ptCount val="1"/>
                <c:pt idx="0">
                  <c:v>total_cost_clean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high_utilizer_analysis!$B$2:$B$21</c:f>
              <c:numCache>
                <c:formatCode>0</c:formatCode>
                <c:ptCount val="20"/>
                <c:pt idx="0">
                  <c:v>591</c:v>
                </c:pt>
                <c:pt idx="1">
                  <c:v>493</c:v>
                </c:pt>
                <c:pt idx="2">
                  <c:v>492</c:v>
                </c:pt>
                <c:pt idx="3">
                  <c:v>470</c:v>
                </c:pt>
                <c:pt idx="4">
                  <c:v>446</c:v>
                </c:pt>
                <c:pt idx="5">
                  <c:v>332</c:v>
                </c:pt>
                <c:pt idx="6">
                  <c:v>278</c:v>
                </c:pt>
                <c:pt idx="7">
                  <c:v>235</c:v>
                </c:pt>
                <c:pt idx="8">
                  <c:v>215</c:v>
                </c:pt>
                <c:pt idx="9">
                  <c:v>167</c:v>
                </c:pt>
                <c:pt idx="10">
                  <c:v>152</c:v>
                </c:pt>
                <c:pt idx="11">
                  <c:v>134</c:v>
                </c:pt>
                <c:pt idx="12">
                  <c:v>125</c:v>
                </c:pt>
                <c:pt idx="13">
                  <c:v>121</c:v>
                </c:pt>
                <c:pt idx="14">
                  <c:v>117</c:v>
                </c:pt>
                <c:pt idx="15">
                  <c:v>116</c:v>
                </c:pt>
                <c:pt idx="16">
                  <c:v>115</c:v>
                </c:pt>
                <c:pt idx="17">
                  <c:v>111</c:v>
                </c:pt>
                <c:pt idx="18">
                  <c:v>110</c:v>
                </c:pt>
                <c:pt idx="19">
                  <c:v>109</c:v>
                </c:pt>
              </c:numCache>
            </c:numRef>
          </c:xVal>
          <c:yVal>
            <c:numRef>
              <c:f>high_utilizer_analysis!$D$2:$D$21</c:f>
              <c:numCache>
                <c:formatCode>[$$-409]#,##0</c:formatCode>
                <c:ptCount val="20"/>
                <c:pt idx="0">
                  <c:v>623867.04</c:v>
                </c:pt>
                <c:pt idx="1">
                  <c:v>628578.01</c:v>
                </c:pt>
                <c:pt idx="2">
                  <c:v>471247.07</c:v>
                </c:pt>
                <c:pt idx="3">
                  <c:v>465992.78</c:v>
                </c:pt>
                <c:pt idx="4">
                  <c:v>463037.83</c:v>
                </c:pt>
                <c:pt idx="5">
                  <c:v>359872.48</c:v>
                </c:pt>
                <c:pt idx="6">
                  <c:v>403342.09</c:v>
                </c:pt>
                <c:pt idx="7">
                  <c:v>520830.02</c:v>
                </c:pt>
                <c:pt idx="8">
                  <c:v>299452.21999999997</c:v>
                </c:pt>
                <c:pt idx="9">
                  <c:v>2678634.1800000002</c:v>
                </c:pt>
                <c:pt idx="10">
                  <c:v>217272.25</c:v>
                </c:pt>
                <c:pt idx="11">
                  <c:v>182989.7</c:v>
                </c:pt>
                <c:pt idx="12">
                  <c:v>280835.57</c:v>
                </c:pt>
                <c:pt idx="13">
                  <c:v>207600.11</c:v>
                </c:pt>
                <c:pt idx="14">
                  <c:v>199892.35</c:v>
                </c:pt>
                <c:pt idx="15">
                  <c:v>622512.96</c:v>
                </c:pt>
                <c:pt idx="16">
                  <c:v>260478.68</c:v>
                </c:pt>
                <c:pt idx="17">
                  <c:v>184752.13</c:v>
                </c:pt>
                <c:pt idx="18">
                  <c:v>656296.31999999995</c:v>
                </c:pt>
                <c:pt idx="19">
                  <c:v>229074.93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43-3047-B950-32C17E043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800"/>
        <c:axId val="10160320"/>
      </c:scatterChart>
      <c:valAx>
        <c:axId val="1016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baseline="0">
                    <a:effectLst/>
                  </a:rPr>
                  <a:t>Total Encounters (Visit Frequency)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0320"/>
        <c:crosses val="autoZero"/>
        <c:crossBetween val="midCat"/>
      </c:valAx>
      <c:valAx>
        <c:axId val="1016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baseline="0">
                    <a:effectLst/>
                  </a:rPr>
                  <a:t>Total Cost (USD)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Series 1 - Non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xVal>
            <c:numRef>
              <c:f>high_utilizer_analysis!$B$2:$B$21</c:f>
              <c:numCache>
                <c:formatCode>0</c:formatCode>
                <c:ptCount val="20"/>
                <c:pt idx="0">
                  <c:v>591</c:v>
                </c:pt>
                <c:pt idx="1">
                  <c:v>493</c:v>
                </c:pt>
                <c:pt idx="2">
                  <c:v>492</c:v>
                </c:pt>
                <c:pt idx="3">
                  <c:v>470</c:v>
                </c:pt>
                <c:pt idx="4">
                  <c:v>446</c:v>
                </c:pt>
                <c:pt idx="5">
                  <c:v>332</c:v>
                </c:pt>
                <c:pt idx="6">
                  <c:v>278</c:v>
                </c:pt>
                <c:pt idx="7">
                  <c:v>235</c:v>
                </c:pt>
                <c:pt idx="8">
                  <c:v>215</c:v>
                </c:pt>
                <c:pt idx="9">
                  <c:v>167</c:v>
                </c:pt>
                <c:pt idx="10">
                  <c:v>152</c:v>
                </c:pt>
                <c:pt idx="11">
                  <c:v>134</c:v>
                </c:pt>
                <c:pt idx="12">
                  <c:v>125</c:v>
                </c:pt>
                <c:pt idx="13">
                  <c:v>121</c:v>
                </c:pt>
                <c:pt idx="14">
                  <c:v>117</c:v>
                </c:pt>
                <c:pt idx="15">
                  <c:v>116</c:v>
                </c:pt>
                <c:pt idx="16">
                  <c:v>115</c:v>
                </c:pt>
                <c:pt idx="17">
                  <c:v>111</c:v>
                </c:pt>
                <c:pt idx="18">
                  <c:v>110</c:v>
                </c:pt>
                <c:pt idx="19">
                  <c:v>109</c:v>
                </c:pt>
              </c:numCache>
            </c:numRef>
          </c:xVal>
          <c:yVal>
            <c:numRef>
              <c:f>high_utilizer_analysis!$G$2:$G$21</c:f>
              <c:numCache>
                <c:formatCode>[$$-409]#,##0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471247.07</c:v>
                </c:pt>
                <c:pt idx="3">
                  <c:v>465992.78</c:v>
                </c:pt>
                <c:pt idx="4">
                  <c:v>463037.83</c:v>
                </c:pt>
                <c:pt idx="5">
                  <c:v>359872.48</c:v>
                </c:pt>
                <c:pt idx="6">
                  <c:v>403342.09</c:v>
                </c:pt>
                <c:pt idx="7">
                  <c:v>520830.02</c:v>
                </c:pt>
                <c:pt idx="8">
                  <c:v>299452.21999999997</c:v>
                </c:pt>
                <c:pt idx="9">
                  <c:v>2678634.1800000002</c:v>
                </c:pt>
                <c:pt idx="10">
                  <c:v>217272.25</c:v>
                </c:pt>
                <c:pt idx="11">
                  <c:v>182989.7</c:v>
                </c:pt>
                <c:pt idx="12">
                  <c:v>280835.57</c:v>
                </c:pt>
                <c:pt idx="13">
                  <c:v>207600.11</c:v>
                </c:pt>
                <c:pt idx="14">
                  <c:v>199892.35</c:v>
                </c:pt>
                <c:pt idx="15">
                  <c:v>622512.96</c:v>
                </c:pt>
                <c:pt idx="16">
                  <c:v>260478.68</c:v>
                </c:pt>
                <c:pt idx="17">
                  <c:v>184752.13</c:v>
                </c:pt>
                <c:pt idx="18">
                  <c:v>656296.31999999995</c:v>
                </c:pt>
                <c:pt idx="19">
                  <c:v>229074.93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DA-0B4E-B129-0F6F31CAF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16576"/>
        <c:axId val="113217920"/>
      </c:scatterChart>
      <c:valAx>
        <c:axId val="11321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Total Encounters (Visit Frequency)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7920"/>
        <c:crosses val="autoZero"/>
        <c:crossBetween val="midCat"/>
      </c:valAx>
      <c:valAx>
        <c:axId val="11321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Series 2 -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high_utilizer_analysis!$B$2:$B$21</c:f>
              <c:numCache>
                <c:formatCode>0</c:formatCode>
                <c:ptCount val="20"/>
                <c:pt idx="0">
                  <c:v>591</c:v>
                </c:pt>
                <c:pt idx="1">
                  <c:v>493</c:v>
                </c:pt>
                <c:pt idx="2">
                  <c:v>492</c:v>
                </c:pt>
                <c:pt idx="3">
                  <c:v>470</c:v>
                </c:pt>
                <c:pt idx="4">
                  <c:v>446</c:v>
                </c:pt>
                <c:pt idx="5">
                  <c:v>332</c:v>
                </c:pt>
                <c:pt idx="6">
                  <c:v>278</c:v>
                </c:pt>
                <c:pt idx="7">
                  <c:v>235</c:v>
                </c:pt>
                <c:pt idx="8">
                  <c:v>215</c:v>
                </c:pt>
                <c:pt idx="9">
                  <c:v>167</c:v>
                </c:pt>
                <c:pt idx="10">
                  <c:v>152</c:v>
                </c:pt>
                <c:pt idx="11">
                  <c:v>134</c:v>
                </c:pt>
                <c:pt idx="12">
                  <c:v>125</c:v>
                </c:pt>
                <c:pt idx="13">
                  <c:v>121</c:v>
                </c:pt>
                <c:pt idx="14">
                  <c:v>117</c:v>
                </c:pt>
                <c:pt idx="15">
                  <c:v>116</c:v>
                </c:pt>
                <c:pt idx="16">
                  <c:v>115</c:v>
                </c:pt>
                <c:pt idx="17">
                  <c:v>111</c:v>
                </c:pt>
                <c:pt idx="18">
                  <c:v>110</c:v>
                </c:pt>
                <c:pt idx="19">
                  <c:v>109</c:v>
                </c:pt>
              </c:numCache>
            </c:numRef>
          </c:xVal>
          <c:yVal>
            <c:numRef>
              <c:f>high_utilizer_analysis!$F$2:$F$21</c:f>
              <c:numCache>
                <c:formatCode>[$$-409]#,##0</c:formatCode>
                <c:ptCount val="20"/>
                <c:pt idx="0">
                  <c:v>623867.04</c:v>
                </c:pt>
                <c:pt idx="1">
                  <c:v>628578.01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29-9943-BA87-DC74E8C13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9261567"/>
        <c:axId val="88981504"/>
      </c:scatterChart>
      <c:valAx>
        <c:axId val="213926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Total Encounters (Visit Frequency)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81504"/>
        <c:crosses val="autoZero"/>
        <c:crossBetween val="midCat"/>
      </c:valAx>
      <c:valAx>
        <c:axId val="8898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261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690182</xdr:colOff>
      <xdr:row>4</xdr:row>
      <xdr:rowOff>177628</xdr:rowOff>
    </xdr:from>
    <xdr:to>
      <xdr:col>13</xdr:col>
      <xdr:colOff>286577</xdr:colOff>
      <xdr:row>18</xdr:row>
      <xdr:rowOff>53086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A03661-303D-42ED-49DA-54102AFCB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153738</xdr:colOff>
      <xdr:row>4</xdr:row>
      <xdr:rowOff>76645</xdr:rowOff>
    </xdr:from>
    <xdr:to>
      <xdr:col>19</xdr:col>
      <xdr:colOff>603807</xdr:colOff>
      <xdr:row>18</xdr:row>
      <xdr:rowOff>45897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E0020F-AC65-438B-3913-B5011F3EA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209439</xdr:colOff>
      <xdr:row>19</xdr:row>
      <xdr:rowOff>98925</xdr:rowOff>
    </xdr:from>
    <xdr:to>
      <xdr:col>19</xdr:col>
      <xdr:colOff>659508</xdr:colOff>
      <xdr:row>33</xdr:row>
      <xdr:rowOff>34756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9943EF-61CE-2D77-3560-1D4B4635B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A18439-0A4D-2747-B642-356AF5400FC3}" name="Table2" displayName="Table2" ref="A1:G21" totalsRowShown="0">
  <autoFilter ref="A1:G21" xr:uid="{BBA18439-0A4D-2747-B642-356AF5400FC3}"/>
  <tableColumns count="7">
    <tableColumn id="1" xr3:uid="{B50DF39F-E0D1-6B4B-9F69-1E081A4C8A7F}" name="patient_id"/>
    <tableColumn id="2" xr3:uid="{3E2DC28D-4BE6-9148-B37B-DD2DBC9492BE}" name="total_encounters" dataDxfId="5"/>
    <tableColumn id="3" xr3:uid="{7BA83B49-B61D-0E40-BA28-35BC1382875C}" name="total_cost" dataDxfId="4"/>
    <tableColumn id="4" xr3:uid="{87DC00FD-B438-214B-B788-BEC5445C99D6}" name="total_cost_clean" dataDxfId="3">
      <calculatedColumnFormula>_xlfn.NUMBERVALUE(C2,".",",")</calculatedColumnFormula>
    </tableColumn>
    <tableColumn id="5" xr3:uid="{497EE5B6-4C5E-424B-80BB-E512D9C7D006}" name="case_mgmt_priority" dataDxfId="2">
      <calculatedColumnFormula>IF(AND($B2&gt;=$B$31,$D2&gt;=$B$32),"Priority","Non-Priority")</calculatedColumnFormula>
    </tableColumn>
    <tableColumn id="6" xr3:uid="{D124D76F-437E-FF42-8EF4-59585AC3938B}" name="cost_priority" dataDxfId="0">
      <calculatedColumnFormula>IF($E2="Priority",$D2,NA())</calculatedColumnFormula>
    </tableColumn>
    <tableColumn id="7" xr3:uid="{03DDC868-2573-E14A-B6B1-16F35BAB30BA}" name="cost_nonpriority" dataDxfId="1">
      <calculatedColumnFormula>IF($E2="Non-Priority",$D2,NA())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4C40F-6D32-A14C-B73C-790A9466313A}">
  <dimension ref="A1:O35"/>
  <sheetViews>
    <sheetView tabSelected="1" topLeftCell="A3" zoomScale="114" workbookViewId="0">
      <selection activeCell="E3" sqref="E3"/>
    </sheetView>
  </sheetViews>
  <sheetFormatPr baseColWidth="10" defaultRowHeight="16"/>
  <cols>
    <col min="1" max="1" width="22" customWidth="1"/>
    <col min="2" max="2" width="17.1640625" style="1" customWidth="1"/>
    <col min="3" max="3" width="3" style="2" hidden="1" customWidth="1"/>
    <col min="4" max="4" width="26" customWidth="1"/>
    <col min="6" max="6" width="18" customWidth="1"/>
    <col min="7" max="7" width="14.6640625" customWidth="1"/>
    <col min="8" max="8" width="13" bestFit="1" customWidth="1"/>
  </cols>
  <sheetData>
    <row r="1" spans="1:15">
      <c r="A1" t="s">
        <v>0</v>
      </c>
      <c r="B1" s="1" t="s">
        <v>1</v>
      </c>
      <c r="C1" s="2" t="s">
        <v>2</v>
      </c>
      <c r="D1" s="2" t="s">
        <v>43</v>
      </c>
      <c r="E1" t="s">
        <v>44</v>
      </c>
      <c r="F1" t="s">
        <v>45</v>
      </c>
      <c r="G1" t="s">
        <v>46</v>
      </c>
    </row>
    <row r="2" spans="1:15" ht="18">
      <c r="A2" t="s">
        <v>3</v>
      </c>
      <c r="B2" s="1">
        <v>591</v>
      </c>
      <c r="C2" s="2" t="s">
        <v>4</v>
      </c>
      <c r="D2" s="4">
        <f>_xlfn.NUMBERVALUE(C2,".",",")</f>
        <v>623867.04</v>
      </c>
      <c r="E2" t="str">
        <f>IF(AND($B2&gt;=$B$31,$D2&gt;=$B$32),"Priority","Non-Priority")</f>
        <v>Priority</v>
      </c>
      <c r="F2" s="4">
        <f>IF($E2="Priority",$D2,NA())</f>
        <v>623867.04</v>
      </c>
      <c r="G2" s="4" t="e">
        <f t="shared" ref="G2:G21" si="0">IF($E2="Non-Priority",$D2,NA())</f>
        <v>#N/A</v>
      </c>
      <c r="O2" s="5" t="s">
        <v>52</v>
      </c>
    </row>
    <row r="3" spans="1:15" ht="18">
      <c r="A3" t="s">
        <v>5</v>
      </c>
      <c r="B3" s="1">
        <v>493</v>
      </c>
      <c r="C3" s="2" t="s">
        <v>6</v>
      </c>
      <c r="D3" s="4">
        <f t="shared" ref="D3:D20" si="1">_xlfn.NUMBERVALUE(C3,".",",")</f>
        <v>628578.01</v>
      </c>
      <c r="E3" t="str">
        <f>IF(AND($B3&gt;=$B$31,$D3&gt;=$B$32),"Priority","Non-Priority")</f>
        <v>Priority</v>
      </c>
      <c r="F3" s="4">
        <f t="shared" ref="F3:F21" si="2">IF($E3="Priority",$D3,NA())</f>
        <v>628578.01</v>
      </c>
      <c r="G3" s="4" t="e">
        <f t="shared" si="0"/>
        <v>#N/A</v>
      </c>
      <c r="O3" s="5" t="s">
        <v>53</v>
      </c>
    </row>
    <row r="4" spans="1:15">
      <c r="A4" t="s">
        <v>7</v>
      </c>
      <c r="B4" s="1">
        <v>492</v>
      </c>
      <c r="C4" s="2" t="s">
        <v>8</v>
      </c>
      <c r="D4" s="4">
        <f t="shared" si="1"/>
        <v>471247.07</v>
      </c>
      <c r="E4" t="str">
        <f>IF(AND($B4&gt;=$B$31,$D4&gt;=$B$32),"Priority","Non-Priority")</f>
        <v>Non-Priority</v>
      </c>
      <c r="F4" s="4" t="e">
        <f t="shared" si="2"/>
        <v>#N/A</v>
      </c>
      <c r="G4" s="4">
        <f t="shared" si="0"/>
        <v>471247.07</v>
      </c>
    </row>
    <row r="5" spans="1:15">
      <c r="A5" t="s">
        <v>9</v>
      </c>
      <c r="B5" s="1">
        <v>470</v>
      </c>
      <c r="C5" s="2" t="s">
        <v>10</v>
      </c>
      <c r="D5" s="4">
        <f t="shared" si="1"/>
        <v>465992.78</v>
      </c>
      <c r="E5" t="str">
        <f>IF(AND($B5&gt;=$B$31,$D5&gt;=$B$32),"Priority","Non-Priority")</f>
        <v>Non-Priority</v>
      </c>
      <c r="F5" s="4" t="e">
        <f t="shared" si="2"/>
        <v>#N/A</v>
      </c>
      <c r="G5" s="4">
        <f t="shared" si="0"/>
        <v>465992.78</v>
      </c>
    </row>
    <row r="6" spans="1:15">
      <c r="A6" t="s">
        <v>11</v>
      </c>
      <c r="B6" s="1">
        <v>446</v>
      </c>
      <c r="C6" s="2" t="s">
        <v>12</v>
      </c>
      <c r="D6" s="4">
        <f t="shared" si="1"/>
        <v>463037.83</v>
      </c>
      <c r="E6" t="str">
        <f>IF(AND($B6&gt;=$B$31,$D6&gt;=$B$32),"Priority","Non-Priority")</f>
        <v>Non-Priority</v>
      </c>
      <c r="F6" s="4" t="e">
        <f t="shared" si="2"/>
        <v>#N/A</v>
      </c>
      <c r="G6" s="4">
        <f t="shared" si="0"/>
        <v>463037.83</v>
      </c>
    </row>
    <row r="7" spans="1:15">
      <c r="A7" t="s">
        <v>13</v>
      </c>
      <c r="B7" s="1">
        <v>332</v>
      </c>
      <c r="C7" s="2" t="s">
        <v>14</v>
      </c>
      <c r="D7" s="4">
        <f t="shared" si="1"/>
        <v>359872.48</v>
      </c>
      <c r="E7" t="str">
        <f>IF(AND($B7&gt;=$B$31,$D7&gt;=$B$32),"Priority","Non-Priority")</f>
        <v>Non-Priority</v>
      </c>
      <c r="F7" s="4" t="e">
        <f t="shared" si="2"/>
        <v>#N/A</v>
      </c>
      <c r="G7" s="4">
        <f t="shared" si="0"/>
        <v>359872.48</v>
      </c>
    </row>
    <row r="8" spans="1:15">
      <c r="A8" t="s">
        <v>15</v>
      </c>
      <c r="B8" s="1">
        <v>278</v>
      </c>
      <c r="C8" s="2" t="s">
        <v>16</v>
      </c>
      <c r="D8" s="4">
        <f t="shared" si="1"/>
        <v>403342.09</v>
      </c>
      <c r="E8" t="str">
        <f>IF(AND($B8&gt;=$B$31,$D8&gt;=$B$32),"Priority","Non-Priority")</f>
        <v>Non-Priority</v>
      </c>
      <c r="F8" s="4" t="e">
        <f t="shared" si="2"/>
        <v>#N/A</v>
      </c>
      <c r="G8" s="4">
        <f t="shared" si="0"/>
        <v>403342.09</v>
      </c>
    </row>
    <row r="9" spans="1:15">
      <c r="A9" t="s">
        <v>17</v>
      </c>
      <c r="B9" s="1">
        <v>235</v>
      </c>
      <c r="C9" s="2" t="s">
        <v>18</v>
      </c>
      <c r="D9" s="4">
        <f t="shared" si="1"/>
        <v>520830.02</v>
      </c>
      <c r="E9" t="str">
        <f>IF(AND($B9&gt;=$B$31,$D9&gt;=$B$32),"Priority","Non-Priority")</f>
        <v>Non-Priority</v>
      </c>
      <c r="F9" s="4" t="e">
        <f t="shared" si="2"/>
        <v>#N/A</v>
      </c>
      <c r="G9" s="4">
        <f t="shared" si="0"/>
        <v>520830.02</v>
      </c>
    </row>
    <row r="10" spans="1:15">
      <c r="A10" t="s">
        <v>19</v>
      </c>
      <c r="B10" s="1">
        <v>215</v>
      </c>
      <c r="C10" s="2" t="s">
        <v>20</v>
      </c>
      <c r="D10" s="4">
        <f t="shared" si="1"/>
        <v>299452.21999999997</v>
      </c>
      <c r="E10" t="str">
        <f>IF(AND($B10&gt;=$B$31,$D10&gt;=$B$32),"Priority","Non-Priority")</f>
        <v>Non-Priority</v>
      </c>
      <c r="F10" s="4" t="e">
        <f t="shared" si="2"/>
        <v>#N/A</v>
      </c>
      <c r="G10" s="4">
        <f t="shared" si="0"/>
        <v>299452.21999999997</v>
      </c>
    </row>
    <row r="11" spans="1:15">
      <c r="A11" t="s">
        <v>21</v>
      </c>
      <c r="B11" s="1">
        <v>167</v>
      </c>
      <c r="C11" s="2" t="s">
        <v>22</v>
      </c>
      <c r="D11" s="4">
        <f t="shared" si="1"/>
        <v>2678634.1800000002</v>
      </c>
      <c r="E11" t="str">
        <f>IF(AND($B11&gt;=$B$31,$D11&gt;=$B$32),"Priority","Non-Priority")</f>
        <v>Non-Priority</v>
      </c>
      <c r="F11" s="4" t="e">
        <f t="shared" si="2"/>
        <v>#N/A</v>
      </c>
      <c r="G11" s="4">
        <f t="shared" si="0"/>
        <v>2678634.1800000002</v>
      </c>
    </row>
    <row r="12" spans="1:15">
      <c r="A12" t="s">
        <v>23</v>
      </c>
      <c r="B12" s="1">
        <v>152</v>
      </c>
      <c r="C12" s="2" t="s">
        <v>24</v>
      </c>
      <c r="D12" s="4">
        <f t="shared" si="1"/>
        <v>217272.25</v>
      </c>
      <c r="E12" t="str">
        <f>IF(AND($B12&gt;=$B$31,$D12&gt;=$B$32),"Priority","Non-Priority")</f>
        <v>Non-Priority</v>
      </c>
      <c r="F12" s="4" t="e">
        <f t="shared" si="2"/>
        <v>#N/A</v>
      </c>
      <c r="G12" s="4">
        <f t="shared" si="0"/>
        <v>217272.25</v>
      </c>
    </row>
    <row r="13" spans="1:15">
      <c r="A13" t="s">
        <v>25</v>
      </c>
      <c r="B13" s="1">
        <v>134</v>
      </c>
      <c r="C13" s="2" t="s">
        <v>26</v>
      </c>
      <c r="D13" s="4">
        <f t="shared" si="1"/>
        <v>182989.7</v>
      </c>
      <c r="E13" t="str">
        <f>IF(AND($B13&gt;=$B$31,$D13&gt;=$B$32),"Priority","Non-Priority")</f>
        <v>Non-Priority</v>
      </c>
      <c r="F13" s="4" t="e">
        <f t="shared" si="2"/>
        <v>#N/A</v>
      </c>
      <c r="G13" s="4">
        <f t="shared" si="0"/>
        <v>182989.7</v>
      </c>
    </row>
    <row r="14" spans="1:15">
      <c r="A14" t="s">
        <v>27</v>
      </c>
      <c r="B14" s="1">
        <v>125</v>
      </c>
      <c r="C14" s="2" t="s">
        <v>28</v>
      </c>
      <c r="D14" s="4">
        <f t="shared" si="1"/>
        <v>280835.57</v>
      </c>
      <c r="E14" t="str">
        <f>IF(AND($B14&gt;=$B$31,$D14&gt;=$B$32),"Priority","Non-Priority")</f>
        <v>Non-Priority</v>
      </c>
      <c r="F14" s="4" t="e">
        <f t="shared" si="2"/>
        <v>#N/A</v>
      </c>
      <c r="G14" s="4">
        <f t="shared" si="0"/>
        <v>280835.57</v>
      </c>
    </row>
    <row r="15" spans="1:15">
      <c r="A15" t="s">
        <v>29</v>
      </c>
      <c r="B15" s="1">
        <v>121</v>
      </c>
      <c r="C15" s="2" t="s">
        <v>30</v>
      </c>
      <c r="D15" s="4">
        <f t="shared" si="1"/>
        <v>207600.11</v>
      </c>
      <c r="E15" t="str">
        <f>IF(AND($B15&gt;=$B$31,$D15&gt;=$B$32),"Priority","Non-Priority")</f>
        <v>Non-Priority</v>
      </c>
      <c r="F15" s="4" t="e">
        <f t="shared" si="2"/>
        <v>#N/A</v>
      </c>
      <c r="G15" s="4">
        <f t="shared" si="0"/>
        <v>207600.11</v>
      </c>
    </row>
    <row r="16" spans="1:15">
      <c r="A16" t="s">
        <v>31</v>
      </c>
      <c r="B16" s="1">
        <v>117</v>
      </c>
      <c r="C16" s="2" t="s">
        <v>32</v>
      </c>
      <c r="D16" s="4">
        <f t="shared" si="1"/>
        <v>199892.35</v>
      </c>
      <c r="E16" t="str">
        <f>IF(AND($B16&gt;=$B$31,$D16&gt;=$B$32),"Priority","Non-Priority")</f>
        <v>Non-Priority</v>
      </c>
      <c r="F16" s="4" t="e">
        <f t="shared" si="2"/>
        <v>#N/A</v>
      </c>
      <c r="G16" s="4">
        <f t="shared" si="0"/>
        <v>199892.35</v>
      </c>
    </row>
    <row r="17" spans="1:7">
      <c r="A17" t="s">
        <v>33</v>
      </c>
      <c r="B17" s="1">
        <v>116</v>
      </c>
      <c r="C17" s="2" t="s">
        <v>34</v>
      </c>
      <c r="D17" s="4">
        <f t="shared" si="1"/>
        <v>622512.96</v>
      </c>
      <c r="E17" t="str">
        <f>IF(AND($B17&gt;=$B$31,$D17&gt;=$B$32),"Priority","Non-Priority")</f>
        <v>Non-Priority</v>
      </c>
      <c r="F17" s="4" t="e">
        <f t="shared" si="2"/>
        <v>#N/A</v>
      </c>
      <c r="G17" s="4">
        <f t="shared" si="0"/>
        <v>622512.96</v>
      </c>
    </row>
    <row r="18" spans="1:7">
      <c r="A18" t="s">
        <v>35</v>
      </c>
      <c r="B18" s="1">
        <v>115</v>
      </c>
      <c r="C18" s="2" t="s">
        <v>36</v>
      </c>
      <c r="D18" s="4">
        <f t="shared" si="1"/>
        <v>260478.68</v>
      </c>
      <c r="E18" t="str">
        <f>IF(AND($B18&gt;=$B$31,$D18&gt;=$B$32),"Priority","Non-Priority")</f>
        <v>Non-Priority</v>
      </c>
      <c r="F18" s="4" t="e">
        <f t="shared" si="2"/>
        <v>#N/A</v>
      </c>
      <c r="G18" s="4">
        <f t="shared" si="0"/>
        <v>260478.68</v>
      </c>
    </row>
    <row r="19" spans="1:7">
      <c r="A19" t="s">
        <v>37</v>
      </c>
      <c r="B19" s="1">
        <v>111</v>
      </c>
      <c r="C19" s="2" t="s">
        <v>38</v>
      </c>
      <c r="D19" s="4">
        <f t="shared" si="1"/>
        <v>184752.13</v>
      </c>
      <c r="E19" t="str">
        <f>IF(AND($B19&gt;=$B$31,$D19&gt;=$B$32),"Priority","Non-Priority")</f>
        <v>Non-Priority</v>
      </c>
      <c r="F19" s="4" t="e">
        <f t="shared" si="2"/>
        <v>#N/A</v>
      </c>
      <c r="G19" s="4">
        <f t="shared" si="0"/>
        <v>184752.13</v>
      </c>
    </row>
    <row r="20" spans="1:7">
      <c r="A20" t="s">
        <v>39</v>
      </c>
      <c r="B20" s="1">
        <v>110</v>
      </c>
      <c r="C20" s="2" t="s">
        <v>40</v>
      </c>
      <c r="D20" s="4">
        <f t="shared" si="1"/>
        <v>656296.31999999995</v>
      </c>
      <c r="E20" t="str">
        <f>IF(AND($B20&gt;=$B$31,$D20&gt;=$B$32),"Priority","Non-Priority")</f>
        <v>Non-Priority</v>
      </c>
      <c r="F20" s="4" t="e">
        <f t="shared" si="2"/>
        <v>#N/A</v>
      </c>
      <c r="G20" s="4">
        <f t="shared" si="0"/>
        <v>656296.31999999995</v>
      </c>
    </row>
    <row r="21" spans="1:7">
      <c r="A21" t="s">
        <v>41</v>
      </c>
      <c r="B21" s="1">
        <v>109</v>
      </c>
      <c r="C21" s="2" t="s">
        <v>42</v>
      </c>
      <c r="D21" s="4">
        <f>_xlfn.NUMBERVALUE(C21,".",",")</f>
        <v>229074.93</v>
      </c>
      <c r="E21" t="str">
        <f>IF(AND($B21&gt;=$B$31,$D21&gt;=$B$32),"Priority","Non-Priority")</f>
        <v>Non-Priority</v>
      </c>
      <c r="F21" s="4" t="e">
        <f t="shared" si="2"/>
        <v>#N/A</v>
      </c>
      <c r="G21" s="4">
        <f t="shared" si="0"/>
        <v>229074.93</v>
      </c>
    </row>
    <row r="31" spans="1:7">
      <c r="A31" s="1" t="s">
        <v>50</v>
      </c>
      <c r="B31" s="1">
        <f>_xlfn.PERCENTILE.INC($B$2:$B$21,0.75)</f>
        <v>360.5</v>
      </c>
      <c r="C31" s="2" t="s">
        <v>48</v>
      </c>
    </row>
    <row r="32" spans="1:7">
      <c r="A32" s="1" t="s">
        <v>51</v>
      </c>
      <c r="B32" s="3">
        <f>_xlfn.PERCENTILE.INC($D$2:$D$21,0.75)</f>
        <v>546250.755</v>
      </c>
    </row>
    <row r="33" spans="1:2">
      <c r="A33" t="s">
        <v>47</v>
      </c>
      <c r="B33" s="4">
        <f>MAX($D$2:$D$21)</f>
        <v>2678634.1800000002</v>
      </c>
    </row>
    <row r="35" spans="1:2">
      <c r="A35" t="s">
        <v>49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high_utilizer_analysis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 FAUZIAH</cp:lastModifiedBy>
  <dcterms:created xsi:type="dcterms:W3CDTF">2025-12-22T11:31:29Z</dcterms:created>
  <dcterms:modified xsi:type="dcterms:W3CDTF">2025-12-22T12:39:36Z</dcterms:modified>
</cp:coreProperties>
</file>