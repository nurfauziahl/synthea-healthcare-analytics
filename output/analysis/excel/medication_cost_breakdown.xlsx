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urfauziah/Desktop/"/>
    </mc:Choice>
  </mc:AlternateContent>
  <xr:revisionPtr revIDLastSave="0" documentId="13_ncr:9_{A3AF551A-A089-914C-B601-55984C014FDA}" xr6:coauthVersionLast="47" xr6:coauthVersionMax="47" xr10:uidLastSave="{00000000-0000-0000-0000-000000000000}"/>
  <bookViews>
    <workbookView xWindow="0" yWindow="620" windowWidth="33600" windowHeight="18440" xr2:uid="{1FF35FD6-804F-294A-9446-0AEF08E965C9}"/>
  </bookViews>
  <sheets>
    <sheet name="medication_cost_breakdow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8" i="1"/>
  <c r="G17" i="1"/>
  <c r="G16" i="1"/>
  <c r="G15" i="1"/>
  <c r="G14" i="1"/>
  <c r="G13" i="1"/>
  <c r="G12" i="1"/>
  <c r="G21" i="1"/>
  <c r="G11" i="1"/>
  <c r="G10" i="1"/>
  <c r="G9" i="1"/>
  <c r="G8" i="1"/>
  <c r="G20" i="1"/>
  <c r="G7" i="1"/>
  <c r="G6" i="1"/>
  <c r="G5" i="1"/>
  <c r="G4" i="1"/>
  <c r="G3" i="1"/>
  <c r="G2" i="1"/>
  <c r="C19" i="1"/>
  <c r="C18" i="1"/>
  <c r="C17" i="1"/>
  <c r="C16" i="1"/>
  <c r="C15" i="1"/>
  <c r="C14" i="1"/>
  <c r="C13" i="1"/>
  <c r="C12" i="1"/>
  <c r="C21" i="1"/>
  <c r="C11" i="1"/>
  <c r="C10" i="1"/>
  <c r="C9" i="1"/>
  <c r="C8" i="1"/>
  <c r="C20" i="1"/>
  <c r="C7" i="1"/>
  <c r="C6" i="1"/>
  <c r="C5" i="1"/>
  <c r="C4" i="1"/>
  <c r="C3" i="1"/>
  <c r="C2" i="1"/>
  <c r="E19" i="1"/>
  <c r="E18" i="1"/>
  <c r="E17" i="1"/>
  <c r="E16" i="1"/>
  <c r="E15" i="1"/>
  <c r="E14" i="1"/>
  <c r="E13" i="1"/>
  <c r="E12" i="1"/>
  <c r="E21" i="1"/>
  <c r="E11" i="1"/>
  <c r="E10" i="1"/>
  <c r="E9" i="1"/>
  <c r="E8" i="1"/>
  <c r="E20" i="1"/>
  <c r="E7" i="1"/>
  <c r="E6" i="1"/>
  <c r="E5" i="1"/>
  <c r="E4" i="1"/>
  <c r="E3" i="1"/>
  <c r="E2" i="1"/>
  <c r="F19" i="1"/>
  <c r="F18" i="1"/>
  <c r="F17" i="1"/>
  <c r="F16" i="1"/>
  <c r="F15" i="1"/>
  <c r="F14" i="1"/>
  <c r="F13" i="1"/>
  <c r="F12" i="1"/>
  <c r="F21" i="1"/>
  <c r="F11" i="1"/>
  <c r="F10" i="1"/>
  <c r="F9" i="1"/>
  <c r="F8" i="1"/>
  <c r="F20" i="1"/>
  <c r="F7" i="1"/>
  <c r="F6" i="1"/>
  <c r="F5" i="1"/>
  <c r="F4" i="1"/>
  <c r="F3" i="1"/>
  <c r="F2" i="1"/>
  <c r="I2" i="1" l="1"/>
  <c r="I9" i="1"/>
  <c r="I16" i="1"/>
  <c r="I3" i="1"/>
  <c r="I10" i="1"/>
  <c r="I17" i="1"/>
  <c r="I4" i="1"/>
  <c r="I11" i="1"/>
  <c r="I18" i="1"/>
  <c r="I5" i="1"/>
  <c r="I21" i="1"/>
  <c r="I20" i="1"/>
  <c r="I14" i="1"/>
  <c r="I8" i="1"/>
  <c r="I15" i="1"/>
  <c r="I7" i="1"/>
  <c r="I13" i="1"/>
  <c r="I12" i="1"/>
  <c r="I6" i="1"/>
  <c r="I19" i="1"/>
</calcChain>
</file>

<file path=xl/sharedStrings.xml><?xml version="1.0" encoding="utf-8"?>
<sst xmlns="http://schemas.openxmlformats.org/spreadsheetml/2006/main" count="68" uniqueCount="65">
  <si>
    <t>medication_description</t>
  </si>
  <si>
    <t>patient_count</t>
  </si>
  <si>
    <t>total_spend_usd</t>
  </si>
  <si>
    <t>avg_cost_per_rx</t>
  </si>
  <si>
    <t>pct_of_total_spend</t>
  </si>
  <si>
    <t>Alteplase 100 MG Injection</t>
  </si>
  <si>
    <t>34022371.12</t>
  </si>
  <si>
    <t>17011185.56</t>
  </si>
  <si>
    <t>76.93</t>
  </si>
  <si>
    <t>Clopidogrel 75 MG Oral Tablet</t>
  </si>
  <si>
    <t>1983858.25</t>
  </si>
  <si>
    <t>66128.61</t>
  </si>
  <si>
    <t>Fexofenadine hydrochloride 30 MG Oral Tablet</t>
  </si>
  <si>
    <t>711528.20</t>
  </si>
  <si>
    <t>71152.82</t>
  </si>
  <si>
    <t>diphenhydrAMINE Hydrochloride 25 MG Oral Tablet</t>
  </si>
  <si>
    <t>587341.07</t>
  </si>
  <si>
    <t>65260.12</t>
  </si>
  <si>
    <t>24 HR metoprolol succinate 100 MG Extended Release Oral Tablet</t>
  </si>
  <si>
    <t>570176.72</t>
  </si>
  <si>
    <t>18392.80</t>
  </si>
  <si>
    <t>NDA020800 0.3 ML Epinephrine 1 MG/ML Auto-Injector</t>
  </si>
  <si>
    <t>558339.93</t>
  </si>
  <si>
    <t>23264.16</t>
  </si>
  <si>
    <t>Nitroglycerin 0.4 MG/ACTUAT Mucosal Spray</t>
  </si>
  <si>
    <t>513597.27</t>
  </si>
  <si>
    <t>15105.80</t>
  </si>
  <si>
    <t>Simvastatin 20 MG Oral Tablet</t>
  </si>
  <si>
    <t>418163.41</t>
  </si>
  <si>
    <t>13489.14</t>
  </si>
  <si>
    <t>insulin isophane  human 70 UNT/ML / insulin  regular  human 30 UNT/ML Injectable Suspension [Humulin]</t>
  </si>
  <si>
    <t>388509.14</t>
  </si>
  <si>
    <t>Naproxen sodium 220 MG Oral Tablet</t>
  </si>
  <si>
    <t>383356.94</t>
  </si>
  <si>
    <t>Donepezil hydrochloride 10 MG Oral Tablet</t>
  </si>
  <si>
    <t>287003.22</t>
  </si>
  <si>
    <t>Chlorpheniramine Maleate 2 MG/ML Oral Solution</t>
  </si>
  <si>
    <t>265446.35</t>
  </si>
  <si>
    <t>53089.27</t>
  </si>
  <si>
    <t>Tacrine 10 MG Oral Capsule</t>
  </si>
  <si>
    <t>243339.03</t>
  </si>
  <si>
    <t>Cisplatin 50 MG Injection</t>
  </si>
  <si>
    <t>203977.08</t>
  </si>
  <si>
    <t>Astemizole 10 MG Oral Tablet</t>
  </si>
  <si>
    <t>185172.04</t>
  </si>
  <si>
    <t>37034.41</t>
  </si>
  <si>
    <t>doxycycline hyclate 100 MG</t>
  </si>
  <si>
    <t>180486.66</t>
  </si>
  <si>
    <t>60162.22</t>
  </si>
  <si>
    <t>60 ACTUAT Fluticasone propionate 0.25 MG/ACTUAT / salmeterol 0.05 MG/ACTUAT Dry Powder Inhaler</t>
  </si>
  <si>
    <t>158821.80</t>
  </si>
  <si>
    <t>2996.64</t>
  </si>
  <si>
    <t>{28 (norethindrone 0.35 MG Oral Tablet) } Pack [Jolivette 28 Day]</t>
  </si>
  <si>
    <t>155811.15</t>
  </si>
  <si>
    <t>5372.80</t>
  </si>
  <si>
    <t>Vitamin B12 5 MG/ML Injectable Solution</t>
  </si>
  <si>
    <t>155273.41</t>
  </si>
  <si>
    <t>12939.45</t>
  </si>
  <si>
    <t>Methylphenidate Hydrochloride 20 MG Oral Tablet</t>
  </si>
  <si>
    <t>149652.25</t>
  </si>
  <si>
    <t>Spend_Others</t>
  </si>
  <si>
    <t>Spend_Alteplase</t>
  </si>
  <si>
    <t>total_spend_clean</t>
  </si>
  <si>
    <t>avg_cost_per_rx_clean</t>
  </si>
  <si>
    <t>pct_of_total_spend_clean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</si>
</sst>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Rp&quot;* #,##0_);_(&quot;Rp&quot;* \(#,##0\);_(&quot;Rp&quot;* &quot;-&quot;_);_(@_)"/>
    <numFmt numFmtId="164" formatCode="_([$$-409]* #,##0.00_);_([$$-409]* \(#,##0.00\);_([$$-409]* &quot;-&quot;??_);_(@_)"/>
    <numFmt numFmtId="165" formatCode="&quot;Rp&quot;#,##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0" fontId="0" fillId="0" borderId="0" xfId="0" applyNumberFormat="1"/>
    <xf numFmtId="164" fontId="0" fillId="0" borderId="0" xfId="1" applyNumberFormat="1" applyFont="1"/>
    <xf numFmtId="165" fontId="0" fillId="0" borderId="0" xfId="1" applyNumberFormat="1" applyFont="1"/>
    <xf numFmtId="164" fontId="0" fillId="0" borderId="0" xfId="0" applyNumberFormat="1"/>
    <xf numFmtId="1" fontId="0" fillId="0" borderId="0" xfId="0" applyNumberFormat="1"/>
    <xf numFmtId="9" fontId="0" fillId="0" borderId="0" xfId="2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 [0]" xfId="1" builtinId="7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4" formatCode="_([$$-409]* #,##0.00_);_([$$-409]* \(#,##0.00\);_([$$-409]* &quot;-&quot;??_);_(@_)"/>
    </dxf>
    <dxf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&quot;Rp&quot;#,##0"/>
    </dxf>
    <dxf>
      <numFmt numFmtId="13" formatCode="0%"/>
    </dxf>
    <dxf>
      <numFmt numFmtId="164" formatCode="_([$$-409]* #,##0.00_);_([$$-409]* \(#,##0.00\);_([$$-409]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&quot;Rp&quot;#,##0"/>
    </dxf>
    <dxf>
      <numFmt numFmtId="1" formatCode="0"/>
    </dxf>
    <dxf>
      <numFmt numFmtId="25" formatCode="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&quot;Rp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>
                <a:effectLst/>
              </a:rPr>
              <a:t>High-Cost Drivers in Pharmacy Spending (USD)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medication_cost_breakdown!$C$1</c:f>
              <c:strCache>
                <c:ptCount val="1"/>
                <c:pt idx="0">
                  <c:v>total_spend_clean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medication_cost_breakdown!$A$2:$A$21</c:f>
              <c:strCache>
                <c:ptCount val="20"/>
                <c:pt idx="0">
                  <c:v>Methylphenidate Hydrochloride 20 MG Oral Tablet</c:v>
                </c:pt>
                <c:pt idx="1">
                  <c:v>Vitamin B12 5 MG/ML Injectable Solution</c:v>
                </c:pt>
                <c:pt idx="2">
                  <c:v>{28 (norethindrone 0.35 MG Oral Tablet) } Pack [Jolivette 28 Day]</c:v>
                </c:pt>
                <c:pt idx="3">
                  <c:v>60 ACTUAT Fluticasone propionate 0.25 MG/ACTUAT / salmeterol 0.05 MG/ACTUAT Dry Powder Inhaler</c:v>
                </c:pt>
                <c:pt idx="4">
                  <c:v>doxycycline hyclate 100 MG</c:v>
                </c:pt>
                <c:pt idx="5">
                  <c:v>Astemizole 10 MG Oral Tablet</c:v>
                </c:pt>
                <c:pt idx="6">
                  <c:v>Cisplatin 50 MG Injection</c:v>
                </c:pt>
                <c:pt idx="7">
                  <c:v>Tacrine 10 MG Oral Capsule</c:v>
                </c:pt>
                <c:pt idx="8">
                  <c:v>Chlorpheniramine Maleate 2 MG/ML Oral Solution</c:v>
                </c:pt>
                <c:pt idx="9">
                  <c:v>Donepezil hydrochloride 10 MG Oral Tablet</c:v>
                </c:pt>
                <c:pt idx="10">
                  <c:v>Naproxen sodium 220 MG Oral Tablet</c:v>
                </c:pt>
                <c:pt idx="11">
                  <c:v>insulin isophane  human 70 UNT/ML / insulin  regular  human 30 UNT/ML Injectable Suspension [Humulin]</c:v>
                </c:pt>
                <c:pt idx="12">
                  <c:v>Simvastatin 20 MG Oral Tablet</c:v>
                </c:pt>
                <c:pt idx="13">
                  <c:v>Nitroglycerin 0.4 MG/ACTUAT Mucosal Spray</c:v>
                </c:pt>
                <c:pt idx="14">
                  <c:v>NDA020800 0.3 ML Epinephrine 1 MG/ML Auto-Injector</c:v>
                </c:pt>
                <c:pt idx="15">
                  <c:v>24 HR metoprolol succinate 100 MG Extended Release Oral Tablet</c:v>
                </c:pt>
                <c:pt idx="16">
                  <c:v>diphenhydrAMINE Hydrochloride 25 MG Oral Tablet</c:v>
                </c:pt>
                <c:pt idx="17">
                  <c:v>Fexofenadine hydrochloride 30 MG Oral Tablet</c:v>
                </c:pt>
                <c:pt idx="18">
                  <c:v>Clopidogrel 75 MG Oral Tablet</c:v>
                </c:pt>
                <c:pt idx="19">
                  <c:v>Alteplase 100 MG Injection</c:v>
                </c:pt>
              </c:strCache>
            </c:strRef>
          </c:cat>
          <c:val>
            <c:numRef>
              <c:f>medication_cost_breakdown!$C$2:$C$21</c:f>
              <c:numCache>
                <c:formatCode>_([$$-409]* #,##0.00_);_([$$-409]* \(#,##0.00\);_([$$-409]* "-"??_);_(@_)</c:formatCode>
                <c:ptCount val="20"/>
                <c:pt idx="0">
                  <c:v>149652.25</c:v>
                </c:pt>
                <c:pt idx="1">
                  <c:v>155273.41</c:v>
                </c:pt>
                <c:pt idx="2">
                  <c:v>155811.15</c:v>
                </c:pt>
                <c:pt idx="3">
                  <c:v>158821.79999999999</c:v>
                </c:pt>
                <c:pt idx="4">
                  <c:v>180486.66</c:v>
                </c:pt>
                <c:pt idx="5">
                  <c:v>185172.04</c:v>
                </c:pt>
                <c:pt idx="6">
                  <c:v>203977.08</c:v>
                </c:pt>
                <c:pt idx="7">
                  <c:v>243339.03</c:v>
                </c:pt>
                <c:pt idx="8">
                  <c:v>265446.34999999998</c:v>
                </c:pt>
                <c:pt idx="9">
                  <c:v>287003.21999999997</c:v>
                </c:pt>
                <c:pt idx="10">
                  <c:v>383356.94</c:v>
                </c:pt>
                <c:pt idx="11">
                  <c:v>388509.14</c:v>
                </c:pt>
                <c:pt idx="12">
                  <c:v>418163.41</c:v>
                </c:pt>
                <c:pt idx="13">
                  <c:v>513597.27</c:v>
                </c:pt>
                <c:pt idx="14">
                  <c:v>558339.93000000005</c:v>
                </c:pt>
                <c:pt idx="15">
                  <c:v>570176.72</c:v>
                </c:pt>
                <c:pt idx="16">
                  <c:v>587341.06999999995</c:v>
                </c:pt>
                <c:pt idx="17">
                  <c:v>711528.2</c:v>
                </c:pt>
                <c:pt idx="18">
                  <c:v>1983858.25</c:v>
                </c:pt>
                <c:pt idx="19">
                  <c:v>34022371.119999997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9-EE44-AADE-7A4F5A837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254016"/>
        <c:axId val="48258048"/>
      </c:barChart>
      <c:catAx>
        <c:axId val="4825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258048"/>
        <c:crosses val="autoZero"/>
        <c:auto val="1"/>
        <c:lblAlgn val="ctr"/>
        <c:lblOffset val="100"/>
        <c:noMultiLvlLbl val="0"/>
      </c:catAx>
      <c:valAx>
        <c:axId val="48258048"/>
        <c:scaling>
          <c:orientation val="minMax"/>
        </c:scaling>
        <c:delete val="1"/>
        <c:axPos val="b"/>
        <c:numFmt formatCode="_([$$-409]* #,##0.00_);_([$$-409]* \(#,##0.00\);_([$$-409]* &quot;-&quot;??_);_(@_)" sourceLinked="1"/>
        <c:majorTickMark val="none"/>
        <c:minorTickMark val="none"/>
        <c:tickLblPos val="nextTo"/>
        <c:crossAx val="4825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951064</xdr:colOff>
      <xdr:row>23</xdr:row>
      <xdr:rowOff>20553</xdr:rowOff>
    </xdr:from>
    <xdr:to>
      <xdr:col>8</xdr:col>
      <xdr:colOff>1442720</xdr:colOff>
      <xdr:row>44</xdr:row>
      <xdr:rowOff>166168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F9F6E2-AFE9-DDF6-75E2-BC012DE372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114702-BB27-104E-8BEC-446C39588ABF}" name="Table2" displayName="Table2" ref="A1:J21" totalsRowShown="0">
  <sortState xmlns:xlrd2="http://schemas.microsoft.com/office/spreadsheetml/2017/richdata2" ref="A2:J21">
    <sortCondition ref="C1:C21"/>
  </sortState>
  <tableColumns count="10">
    <tableColumn id="1" xr3:uid="{90556DA7-DA8E-5044-9585-7A3BB71278E9}" name="medication_description"/>
    <tableColumn id="2" xr3:uid="{93E53FED-5839-D343-BD40-DF765CC07E05}" name="patient_count" dataDxfId="6"/>
    <tableColumn id="9" xr3:uid="{737BDFF2-2853-1442-B2EA-2A8521EF9865}" name="total_spend_clean" dataDxfId="4">
      <calculatedColumnFormula>_xlfn.NUMBERVALUE(D2,".",",")</calculatedColumnFormula>
    </tableColumn>
    <tableColumn id="3" xr3:uid="{6A3AC39D-DC70-1048-8393-8E8BF7865BB4}" name="total_spend_usd" dataDxfId="5" dataCellStyle="Currency [0]"/>
    <tableColumn id="6" xr3:uid="{03843BB0-AAD3-3E4C-875F-7DAA71BCA35E}" name="Spend_Others" dataDxfId="8" dataCellStyle="Currency [0]">
      <calculatedColumnFormula>IF(ISNUMBER(SEARCH("Alteplase",$A2)),NA(),$D2)</calculatedColumnFormula>
    </tableColumn>
    <tableColumn id="7" xr3:uid="{AE195626-8C56-3549-AB17-D130697A66EA}" name="Spend_Alteplase" dataDxfId="2" dataCellStyle="Currency [0]">
      <calculatedColumnFormula>IF(ISNUMBER(SEARCH("Alteplase",$A2)),$D2,NA())</calculatedColumnFormula>
    </tableColumn>
    <tableColumn id="10" xr3:uid="{3D455137-27FF-6442-973E-1967C95ACFFE}" name="avg_cost_per_rx_clean" dataDxfId="0" dataCellStyle="Currency [0]">
      <calculatedColumnFormula>_xlfn.NUMBERVALUE(H2,".",",")</calculatedColumnFormula>
    </tableColumn>
    <tableColumn id="4" xr3:uid="{20A3EE4D-4F72-5749-9190-8F0E61D16961}" name="avg_cost_per_rx" dataDxfId="1"/>
    <tableColumn id="8" xr3:uid="{B193CDE1-C2A2-DA41-9A4F-B4B0EFC3438B}" name="pct_of_total_spend_clean" dataDxfId="3" dataCellStyle="Percent">
      <calculatedColumnFormula xml:space="preserve"> C2 / SUM($C$2:$C$21)</calculatedColumnFormula>
    </tableColumn>
    <tableColumn id="5" xr3:uid="{70B1AA8D-E20C-A54C-B9D8-6A9AAB0C432A}" name="pct_of_total_spend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F139-3916-934E-9E4C-EB11EE4A7804}">
  <dimension ref="A1:J21"/>
  <sheetViews>
    <sheetView tabSelected="1" topLeftCell="A16" zoomScale="125" zoomScaleNormal="125" workbookViewId="0">
      <selection activeCell="K35" sqref="K35"/>
    </sheetView>
  </sheetViews>
  <sheetFormatPr baseColWidth="10" defaultRowHeight="16" x14ac:dyDescent="0.2"/>
  <cols>
    <col min="1" max="1" width="22.5" customWidth="1"/>
    <col min="2" max="2" width="14" style="5" customWidth="1"/>
    <col min="3" max="3" width="16.83203125" style="5" customWidth="1"/>
    <col min="4" max="4" width="16.5" style="3" hidden="1" customWidth="1"/>
    <col min="5" max="6" width="16.5" style="3" customWidth="1"/>
    <col min="7" max="7" width="28.1640625" style="2" customWidth="1"/>
    <col min="8" max="8" width="16" style="4" hidden="1" customWidth="1"/>
    <col min="9" max="9" width="21.1640625" style="6" customWidth="1"/>
    <col min="10" max="10" width="18.5" hidden="1" customWidth="1"/>
  </cols>
  <sheetData>
    <row r="1" spans="1:10" x14ac:dyDescent="0.2">
      <c r="A1" t="s">
        <v>0</v>
      </c>
      <c r="B1" s="5" t="s">
        <v>1</v>
      </c>
      <c r="C1" s="5" t="s">
        <v>62</v>
      </c>
      <c r="D1" s="3" t="s">
        <v>2</v>
      </c>
      <c r="E1" s="3" t="s">
        <v>60</v>
      </c>
      <c r="F1" s="3" t="s">
        <v>61</v>
      </c>
      <c r="G1" s="2" t="s">
        <v>63</v>
      </c>
      <c r="H1" s="4" t="s">
        <v>3</v>
      </c>
      <c r="I1" s="6" t="s">
        <v>64</v>
      </c>
      <c r="J1" t="s">
        <v>4</v>
      </c>
    </row>
    <row r="2" spans="1:10" x14ac:dyDescent="0.2">
      <c r="A2" t="s">
        <v>58</v>
      </c>
      <c r="B2" s="5">
        <v>1</v>
      </c>
      <c r="C2" s="4">
        <f>_xlfn.NUMBERVALUE(D2,".",",")</f>
        <v>149652.25</v>
      </c>
      <c r="D2" s="3" t="s">
        <v>59</v>
      </c>
      <c r="E2" s="3" t="str">
        <f>IF(ISNUMBER(SEARCH("Alteplase",$A2)),NA(),$D2)</f>
        <v>149652.25</v>
      </c>
      <c r="F2" s="3" t="e">
        <f>IF(ISNUMBER(SEARCH("Alteplase",$A2)),$D2,NA())</f>
        <v>#N/A</v>
      </c>
      <c r="G2" s="2">
        <f>_xlfn.NUMBERVALUE(H2,".",",")</f>
        <v>149652.25</v>
      </c>
      <c r="H2" s="4" t="s">
        <v>59</v>
      </c>
      <c r="I2" s="6">
        <f xml:space="preserve"> C2 / SUM($C$2:$C$21)</f>
        <v>3.5528097069394511E-3</v>
      </c>
      <c r="J2" s="1">
        <v>2.361111111111111E-2</v>
      </c>
    </row>
    <row r="3" spans="1:10" x14ac:dyDescent="0.2">
      <c r="A3" t="s">
        <v>55</v>
      </c>
      <c r="B3" s="5">
        <v>12</v>
      </c>
      <c r="C3" s="4">
        <f>_xlfn.NUMBERVALUE(D3,".",",")</f>
        <v>155273.41</v>
      </c>
      <c r="D3" s="3" t="s">
        <v>56</v>
      </c>
      <c r="E3" s="3" t="str">
        <f>IF(ISNUMBER(SEARCH("Alteplase",$A3)),NA(),$D3)</f>
        <v>155273.41</v>
      </c>
      <c r="F3" s="3" t="e">
        <f>IF(ISNUMBER(SEARCH("Alteplase",$A3)),$D3,NA())</f>
        <v>#N/A</v>
      </c>
      <c r="G3" s="2">
        <f>_xlfn.NUMBERVALUE(H3,".",",")</f>
        <v>12939.45</v>
      </c>
      <c r="H3" s="4" t="s">
        <v>57</v>
      </c>
      <c r="I3" s="6">
        <f xml:space="preserve"> C3 / SUM($C$2:$C$21)</f>
        <v>3.686258497801331E-3</v>
      </c>
      <c r="J3" s="1">
        <v>2.4305555555555556E-2</v>
      </c>
    </row>
    <row r="4" spans="1:10" x14ac:dyDescent="0.2">
      <c r="A4" t="s">
        <v>52</v>
      </c>
      <c r="B4" s="5">
        <v>18</v>
      </c>
      <c r="C4" s="4">
        <f>_xlfn.NUMBERVALUE(D4,".",",")</f>
        <v>155811.15</v>
      </c>
      <c r="D4" s="3" t="s">
        <v>53</v>
      </c>
      <c r="E4" s="3" t="str">
        <f>IF(ISNUMBER(SEARCH("Alteplase",$A4)),NA(),$D4)</f>
        <v>155811.15</v>
      </c>
      <c r="F4" s="3" t="e">
        <f>IF(ISNUMBER(SEARCH("Alteplase",$A4)),$D4,NA())</f>
        <v>#N/A</v>
      </c>
      <c r="G4" s="2">
        <f>_xlfn.NUMBERVALUE(H4,".",",")</f>
        <v>5372.8</v>
      </c>
      <c r="H4" s="4" t="s">
        <v>54</v>
      </c>
      <c r="I4" s="6">
        <f xml:space="preserve"> C4 / SUM($C$2:$C$21)</f>
        <v>3.6990246800124877E-3</v>
      </c>
      <c r="J4" s="1">
        <v>2.4305555555555556E-2</v>
      </c>
    </row>
    <row r="5" spans="1:10" x14ac:dyDescent="0.2">
      <c r="A5" t="s">
        <v>49</v>
      </c>
      <c r="B5" s="5">
        <v>4</v>
      </c>
      <c r="C5" s="4">
        <f>_xlfn.NUMBERVALUE(D5,".",",")</f>
        <v>158821.79999999999</v>
      </c>
      <c r="D5" s="3" t="s">
        <v>50</v>
      </c>
      <c r="E5" s="3" t="str">
        <f>IF(ISNUMBER(SEARCH("Alteplase",$A5)),NA(),$D5)</f>
        <v>158821.80</v>
      </c>
      <c r="F5" s="3" t="e">
        <f>IF(ISNUMBER(SEARCH("Alteplase",$A5)),$D5,NA())</f>
        <v>#N/A</v>
      </c>
      <c r="G5" s="2">
        <f>_xlfn.NUMBERVALUE(H5,".",",")</f>
        <v>2996.64</v>
      </c>
      <c r="H5" s="4" t="s">
        <v>51</v>
      </c>
      <c r="I5" s="6">
        <f xml:space="preserve"> C5 / SUM($C$2:$C$21)</f>
        <v>3.770498824532181E-3</v>
      </c>
      <c r="J5" s="1">
        <v>2.5000000000000001E-2</v>
      </c>
    </row>
    <row r="6" spans="1:10" x14ac:dyDescent="0.2">
      <c r="A6" t="s">
        <v>46</v>
      </c>
      <c r="B6" s="5">
        <v>3</v>
      </c>
      <c r="C6" s="4">
        <f>_xlfn.NUMBERVALUE(D6,".",",")</f>
        <v>180486.66</v>
      </c>
      <c r="D6" s="3" t="s">
        <v>47</v>
      </c>
      <c r="E6" s="3" t="str">
        <f>IF(ISNUMBER(SEARCH("Alteplase",$A6)),NA(),$D6)</f>
        <v>180486.66</v>
      </c>
      <c r="F6" s="3" t="e">
        <f>IF(ISNUMBER(SEARCH("Alteplase",$A6)),$D6,NA())</f>
        <v>#N/A</v>
      </c>
      <c r="G6" s="2">
        <f>_xlfn.NUMBERVALUE(H6,".",",")</f>
        <v>60162.22</v>
      </c>
      <c r="H6" s="4" t="s">
        <v>48</v>
      </c>
      <c r="I6" s="6">
        <f xml:space="preserve"> C6 / SUM($C$2:$C$21)</f>
        <v>4.2848320531170122E-3</v>
      </c>
      <c r="J6" s="1">
        <v>2.8472222222222222E-2</v>
      </c>
    </row>
    <row r="7" spans="1:10" x14ac:dyDescent="0.2">
      <c r="A7" t="s">
        <v>43</v>
      </c>
      <c r="B7" s="5">
        <v>5</v>
      </c>
      <c r="C7" s="4">
        <f>_xlfn.NUMBERVALUE(D7,".",",")</f>
        <v>185172.04</v>
      </c>
      <c r="D7" s="3" t="s">
        <v>44</v>
      </c>
      <c r="E7" s="3" t="str">
        <f>IF(ISNUMBER(SEARCH("Alteplase",$A7)),NA(),$D7)</f>
        <v>185172.04</v>
      </c>
      <c r="F7" s="3" t="e">
        <f>IF(ISNUMBER(SEARCH("Alteplase",$A7)),$D7,NA())</f>
        <v>#N/A</v>
      </c>
      <c r="G7" s="2">
        <f>_xlfn.NUMBERVALUE(H7,".",",")</f>
        <v>37034.410000000003</v>
      </c>
      <c r="H7" s="4" t="s">
        <v>45</v>
      </c>
      <c r="I7" s="6">
        <f xml:space="preserve"> C7 / SUM($C$2:$C$21)</f>
        <v>4.3960650185064397E-3</v>
      </c>
      <c r="J7" s="1">
        <v>2.9166666666666667E-2</v>
      </c>
    </row>
    <row r="8" spans="1:10" x14ac:dyDescent="0.2">
      <c r="A8" t="s">
        <v>41</v>
      </c>
      <c r="B8" s="5">
        <v>4</v>
      </c>
      <c r="C8" s="4">
        <f>_xlfn.NUMBERVALUE(D8,".",",")</f>
        <v>203977.08</v>
      </c>
      <c r="D8" s="3" t="s">
        <v>42</v>
      </c>
      <c r="E8" s="3" t="str">
        <f>IF(ISNUMBER(SEARCH("Alteplase",$A8)),NA(),$D8)</f>
        <v>203977.08</v>
      </c>
      <c r="F8" s="3" t="e">
        <f>IF(ISNUMBER(SEARCH("Alteplase",$A8)),$D8,NA())</f>
        <v>#N/A</v>
      </c>
      <c r="G8" s="2">
        <f>_xlfn.NUMBERVALUE(H8,".",",")</f>
        <v>926388888888889</v>
      </c>
      <c r="H8" s="4">
        <v>9.2638888888888893</v>
      </c>
      <c r="I8" s="6">
        <f xml:space="preserve"> C8 / SUM($C$2:$C$21)</f>
        <v>4.8425048725773577E-3</v>
      </c>
      <c r="J8" s="1">
        <v>3.1944444444444442E-2</v>
      </c>
    </row>
    <row r="9" spans="1:10" x14ac:dyDescent="0.2">
      <c r="A9" t="s">
        <v>39</v>
      </c>
      <c r="B9" s="5">
        <v>1</v>
      </c>
      <c r="C9" s="4">
        <f>_xlfn.NUMBERVALUE(D9,".",",")</f>
        <v>243339.03</v>
      </c>
      <c r="D9" s="3" t="s">
        <v>40</v>
      </c>
      <c r="E9" s="3" t="str">
        <f>IF(ISNUMBER(SEARCH("Alteplase",$A9)),NA(),$D9)</f>
        <v>243339.03</v>
      </c>
      <c r="F9" s="3" t="e">
        <f>IF(ISNUMBER(SEARCH("Alteplase",$A9)),$D9,NA())</f>
        <v>#N/A</v>
      </c>
      <c r="G9" s="2">
        <f>_xlfn.NUMBERVALUE(H9,".",",")</f>
        <v>243339.03</v>
      </c>
      <c r="H9" s="4" t="s">
        <v>40</v>
      </c>
      <c r="I9" s="6">
        <f xml:space="preserve"> C9 / SUM($C$2:$C$21)</f>
        <v>5.776974738844423E-3</v>
      </c>
      <c r="J9" s="1">
        <v>3.8194444444444448E-2</v>
      </c>
    </row>
    <row r="10" spans="1:10" x14ac:dyDescent="0.2">
      <c r="A10" t="s">
        <v>36</v>
      </c>
      <c r="B10" s="5">
        <v>5</v>
      </c>
      <c r="C10" s="4">
        <f>_xlfn.NUMBERVALUE(D10,".",",")</f>
        <v>265446.34999999998</v>
      </c>
      <c r="D10" s="3" t="s">
        <v>37</v>
      </c>
      <c r="E10" s="3" t="str">
        <f>IF(ISNUMBER(SEARCH("Alteplase",$A10)),NA(),$D10)</f>
        <v>265446.35</v>
      </c>
      <c r="F10" s="3" t="e">
        <f>IF(ISNUMBER(SEARCH("Alteplase",$A10)),$D10,NA())</f>
        <v>#N/A</v>
      </c>
      <c r="G10" s="2">
        <f>_xlfn.NUMBERVALUE(H10,".",",")</f>
        <v>53089.27</v>
      </c>
      <c r="H10" s="4" t="s">
        <v>38</v>
      </c>
      <c r="I10" s="6">
        <f xml:space="preserve"> C10 / SUM($C$2:$C$21)</f>
        <v>6.3018121608705976E-3</v>
      </c>
      <c r="J10">
        <v>4.1666666666666664E-2</v>
      </c>
    </row>
    <row r="11" spans="1:10" x14ac:dyDescent="0.2">
      <c r="A11" t="s">
        <v>34</v>
      </c>
      <c r="B11" s="5">
        <v>1</v>
      </c>
      <c r="C11" s="4">
        <f>_xlfn.NUMBERVALUE(D11,".",",")</f>
        <v>287003.21999999997</v>
      </c>
      <c r="D11" s="3" t="s">
        <v>35</v>
      </c>
      <c r="E11" s="3" t="str">
        <f>IF(ISNUMBER(SEARCH("Alteplase",$A11)),NA(),$D11)</f>
        <v>287003.22</v>
      </c>
      <c r="F11" s="3" t="e">
        <f>IF(ISNUMBER(SEARCH("Alteplase",$A11)),$D11,NA())</f>
        <v>#N/A</v>
      </c>
      <c r="G11" s="2">
        <f>_xlfn.NUMBERVALUE(H11,".",",")</f>
        <v>287003.21999999997</v>
      </c>
      <c r="H11" s="4" t="s">
        <v>35</v>
      </c>
      <c r="I11" s="6">
        <f xml:space="preserve"> C11 / SUM($C$2:$C$21)</f>
        <v>6.8135816597403561E-3</v>
      </c>
      <c r="J11">
        <v>4.5138888888888888E-2</v>
      </c>
    </row>
    <row r="12" spans="1:10" x14ac:dyDescent="0.2">
      <c r="A12" t="s">
        <v>32</v>
      </c>
      <c r="B12" s="5">
        <v>42</v>
      </c>
      <c r="C12" s="4">
        <f>_xlfn.NUMBERVALUE(D12,".",",")</f>
        <v>383356.94</v>
      </c>
      <c r="D12" s="3" t="s">
        <v>33</v>
      </c>
      <c r="E12" s="3" t="str">
        <f>IF(ISNUMBER(SEARCH("Alteplase",$A12)),NA(),$D12)</f>
        <v>383356.94</v>
      </c>
      <c r="F12" s="3" t="e">
        <f>IF(ISNUMBER(SEARCH("Alteplase",$A12)),$D12,NA())</f>
        <v>#N/A</v>
      </c>
      <c r="G12" s="2">
        <f>_xlfn.NUMBERVALUE(H12,".",",")</f>
        <v>371477777777778</v>
      </c>
      <c r="H12" s="4">
        <v>371.47777777777776</v>
      </c>
      <c r="I12" s="6">
        <f xml:space="preserve"> C12 / SUM($C$2:$C$21)</f>
        <v>9.1010610108074198E-3</v>
      </c>
      <c r="J12">
        <v>6.0416666666666667E-2</v>
      </c>
    </row>
    <row r="13" spans="1:10" x14ac:dyDescent="0.2">
      <c r="A13" t="s">
        <v>30</v>
      </c>
      <c r="B13" s="5">
        <v>18</v>
      </c>
      <c r="C13" s="4">
        <f>_xlfn.NUMBERVALUE(D13,".",",")</f>
        <v>388509.14</v>
      </c>
      <c r="D13" s="3" t="s">
        <v>31</v>
      </c>
      <c r="E13" s="3" t="str">
        <f>IF(ISNUMBER(SEARCH("Alteplase",$A13)),NA(),$D13)</f>
        <v>388509.14</v>
      </c>
      <c r="F13" s="3" t="e">
        <f>IF(ISNUMBER(SEARCH("Alteplase",$A13)),$D13,NA())</f>
        <v>#N/A</v>
      </c>
      <c r="G13" s="2">
        <f>_xlfn.NUMBERVALUE(H13,".",",")</f>
        <v>198944444444444</v>
      </c>
      <c r="H13" s="4">
        <v>19.894444444444446</v>
      </c>
      <c r="I13" s="6">
        <f xml:space="preserve"> C13 / SUM($C$2:$C$21)</f>
        <v>9.2233764866662422E-3</v>
      </c>
      <c r="J13">
        <v>6.1111111111111109E-2</v>
      </c>
    </row>
    <row r="14" spans="1:10" x14ac:dyDescent="0.2">
      <c r="A14" t="s">
        <v>27</v>
      </c>
      <c r="B14" s="5">
        <v>31</v>
      </c>
      <c r="C14" s="4">
        <f>_xlfn.NUMBERVALUE(D14,".",",")</f>
        <v>418163.41</v>
      </c>
      <c r="D14" s="3" t="s">
        <v>28</v>
      </c>
      <c r="E14" s="3" t="str">
        <f>IF(ISNUMBER(SEARCH("Alteplase",$A14)),NA(),$D14)</f>
        <v>418163.41</v>
      </c>
      <c r="F14" s="3" t="e">
        <f>IF(ISNUMBER(SEARCH("Alteplase",$A14)),$D14,NA())</f>
        <v>#N/A</v>
      </c>
      <c r="G14" s="2">
        <f>_xlfn.NUMBERVALUE(H14,".",",")</f>
        <v>13489.14</v>
      </c>
      <c r="H14" s="4" t="s">
        <v>29</v>
      </c>
      <c r="I14" s="6">
        <f xml:space="preserve"> C14 / SUM($C$2:$C$21)</f>
        <v>9.9273817943592649E-3</v>
      </c>
      <c r="J14">
        <v>6.5972222222222224E-2</v>
      </c>
    </row>
    <row r="15" spans="1:10" x14ac:dyDescent="0.2">
      <c r="A15" t="s">
        <v>24</v>
      </c>
      <c r="B15" s="5">
        <v>34</v>
      </c>
      <c r="C15" s="4">
        <f>_xlfn.NUMBERVALUE(D15,".",",")</f>
        <v>513597.27</v>
      </c>
      <c r="D15" s="3" t="s">
        <v>25</v>
      </c>
      <c r="E15" s="3" t="str">
        <f>IF(ISNUMBER(SEARCH("Alteplase",$A15)),NA(),$D15)</f>
        <v>513597.27</v>
      </c>
      <c r="F15" s="3" t="e">
        <f>IF(ISNUMBER(SEARCH("Alteplase",$A15)),$D15,NA())</f>
        <v>#N/A</v>
      </c>
      <c r="G15" s="2">
        <f>_xlfn.NUMBERVALUE(H15,".",",")</f>
        <v>15105.8</v>
      </c>
      <c r="H15" s="4" t="s">
        <v>26</v>
      </c>
      <c r="I15" s="6">
        <f xml:space="preserve"> C15 / SUM($C$2:$C$21)</f>
        <v>1.2193023267699631E-2</v>
      </c>
      <c r="J15" s="1">
        <v>5.2777777777777778E-2</v>
      </c>
    </row>
    <row r="16" spans="1:10" x14ac:dyDescent="0.2">
      <c r="A16" t="s">
        <v>21</v>
      </c>
      <c r="B16" s="5">
        <v>24</v>
      </c>
      <c r="C16" s="4">
        <f>_xlfn.NUMBERVALUE(D16,".",",")</f>
        <v>558339.93000000005</v>
      </c>
      <c r="D16" s="3" t="s">
        <v>22</v>
      </c>
      <c r="E16" s="3" t="str">
        <f>IF(ISNUMBER(SEARCH("Alteplase",$A16)),NA(),$D16)</f>
        <v>558339.93</v>
      </c>
      <c r="F16" s="3" t="e">
        <f>IF(ISNUMBER(SEARCH("Alteplase",$A16)),$D16,NA())</f>
        <v>#N/A</v>
      </c>
      <c r="G16" s="2">
        <f>_xlfn.NUMBERVALUE(H16,".",",")</f>
        <v>23264.16</v>
      </c>
      <c r="H16" s="4" t="s">
        <v>23</v>
      </c>
      <c r="I16" s="6">
        <f xml:space="preserve"> C16 / SUM($C$2:$C$21)</f>
        <v>1.325523353692239E-2</v>
      </c>
      <c r="J16" s="1">
        <v>5.9722222222222225E-2</v>
      </c>
    </row>
    <row r="17" spans="1:10" x14ac:dyDescent="0.2">
      <c r="A17" t="s">
        <v>18</v>
      </c>
      <c r="B17" s="5">
        <v>31</v>
      </c>
      <c r="C17" s="4">
        <f>_xlfn.NUMBERVALUE(D17,".",",")</f>
        <v>570176.72</v>
      </c>
      <c r="D17" s="3" t="s">
        <v>19</v>
      </c>
      <c r="E17" s="3" t="str">
        <f>IF(ISNUMBER(SEARCH("Alteplase",$A17)),NA(),$D17)</f>
        <v>570176.72</v>
      </c>
      <c r="F17" s="3" t="e">
        <f>IF(ISNUMBER(SEARCH("Alteplase",$A17)),$D17,NA())</f>
        <v>#N/A</v>
      </c>
      <c r="G17" s="2">
        <f>_xlfn.NUMBERVALUE(H17,".",",")</f>
        <v>18392.8</v>
      </c>
      <c r="H17" s="4" t="s">
        <v>20</v>
      </c>
      <c r="I17" s="6">
        <f xml:space="preserve"> C17 / SUM($C$2:$C$21)</f>
        <v>1.3536244095808097E-2</v>
      </c>
      <c r="J17" s="1">
        <v>6.1805555555555558E-2</v>
      </c>
    </row>
    <row r="18" spans="1:10" x14ac:dyDescent="0.2">
      <c r="A18" t="s">
        <v>15</v>
      </c>
      <c r="B18" s="5">
        <v>9</v>
      </c>
      <c r="C18" s="4">
        <f>_xlfn.NUMBERVALUE(D18,".",",")</f>
        <v>587341.06999999995</v>
      </c>
      <c r="D18" s="3" t="s">
        <v>16</v>
      </c>
      <c r="E18" s="3" t="str">
        <f>IF(ISNUMBER(SEARCH("Alteplase",$A18)),NA(),$D18)</f>
        <v>587341.07</v>
      </c>
      <c r="F18" s="3" t="e">
        <f>IF(ISNUMBER(SEARCH("Alteplase",$A18)),$D18,NA())</f>
        <v>#N/A</v>
      </c>
      <c r="G18" s="2">
        <f>_xlfn.NUMBERVALUE(H18,".",",")</f>
        <v>65260.12</v>
      </c>
      <c r="H18" s="4" t="s">
        <v>17</v>
      </c>
      <c r="I18" s="6">
        <f xml:space="preserve"> C18 / SUM($C$2:$C$21)</f>
        <v>1.3943733253460629E-2</v>
      </c>
      <c r="J18" s="1">
        <v>6.458333333333334E-2</v>
      </c>
    </row>
    <row r="19" spans="1:10" x14ac:dyDescent="0.2">
      <c r="A19" t="s">
        <v>12</v>
      </c>
      <c r="B19" s="5">
        <v>10</v>
      </c>
      <c r="C19" s="4">
        <f>_xlfn.NUMBERVALUE(D19,".",",")</f>
        <v>711528.2</v>
      </c>
      <c r="D19" s="3" t="s">
        <v>13</v>
      </c>
      <c r="E19" s="3" t="str">
        <f>IF(ISNUMBER(SEARCH("Alteplase",$A19)),NA(),$D19)</f>
        <v>711528.20</v>
      </c>
      <c r="F19" s="3" t="e">
        <f>IF(ISNUMBER(SEARCH("Alteplase",$A19)),$D19,NA())</f>
        <v>#N/A</v>
      </c>
      <c r="G19" s="2">
        <f>_xlfn.NUMBERVALUE(H19,".",",")</f>
        <v>71152.820000000007</v>
      </c>
      <c r="H19" s="4" t="s">
        <v>14</v>
      </c>
      <c r="I19" s="6">
        <f xml:space="preserve"> C19 / SUM($C$2:$C$21)</f>
        <v>1.689198990139577E-2</v>
      </c>
      <c r="J19">
        <v>8.4027777777777785E-2</v>
      </c>
    </row>
    <row r="20" spans="1:10" x14ac:dyDescent="0.2">
      <c r="A20" t="s">
        <v>9</v>
      </c>
      <c r="B20" s="5">
        <v>30</v>
      </c>
      <c r="C20" s="4">
        <f>_xlfn.NUMBERVALUE(D20,".",",")</f>
        <v>1983858.25</v>
      </c>
      <c r="D20" s="3" t="s">
        <v>10</v>
      </c>
      <c r="E20" s="3" t="str">
        <f>IF(ISNUMBER(SEARCH("Alteplase",$A20)),NA(),$D20)</f>
        <v>1983858.25</v>
      </c>
      <c r="F20" s="3" t="e">
        <f>IF(ISNUMBER(SEARCH("Alteplase",$A20)),$D20,NA())</f>
        <v>#N/A</v>
      </c>
      <c r="G20" s="2">
        <f>_xlfn.NUMBERVALUE(H20,".",",")</f>
        <v>66128.61</v>
      </c>
      <c r="H20" s="4" t="s">
        <v>11</v>
      </c>
      <c r="I20" s="6">
        <f xml:space="preserve"> C20 / SUM($C$2:$C$21)</f>
        <v>4.7097660394627629E-2</v>
      </c>
      <c r="J20" s="1">
        <v>0.20069444444444445</v>
      </c>
    </row>
    <row r="21" spans="1:10" x14ac:dyDescent="0.2">
      <c r="A21" t="s">
        <v>5</v>
      </c>
      <c r="B21" s="5">
        <v>2</v>
      </c>
      <c r="C21" s="4">
        <f>_xlfn.NUMBERVALUE(D21,".",",")</f>
        <v>34022371.119999997</v>
      </c>
      <c r="D21" s="3" t="s">
        <v>6</v>
      </c>
      <c r="E21" s="3" t="e">
        <f>IF(ISNUMBER(SEARCH("Alteplase",$A21)),NA(),$D21)</f>
        <v>#N/A</v>
      </c>
      <c r="F21" s="3" t="str">
        <f>IF(ISNUMBER(SEARCH("Alteplase",$A21)),$D21,NA())</f>
        <v>34022371.12</v>
      </c>
      <c r="G21" s="2">
        <f>_xlfn.NUMBERVALUE(H21,".",",")</f>
        <v>17011185.559999999</v>
      </c>
      <c r="H21" s="4" t="s">
        <v>7</v>
      </c>
      <c r="I21" s="6">
        <f xml:space="preserve"> C21 / SUM($C$2:$C$21)</f>
        <v>0.80770593404531121</v>
      </c>
      <c r="J21" t="s">
        <v>8</v>
      </c>
    </row>
  </sheetData>
  <phoneticPr fontId="18" type="noConversion"/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medication_cost_breakdown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 FAUZIAH</cp:lastModifiedBy>
  <dcterms:created xsi:type="dcterms:W3CDTF">2025-12-22T04:37:27Z</dcterms:created>
  <dcterms:modified xsi:type="dcterms:W3CDTF">2025-12-22T11:09:56Z</dcterms:modified>
</cp:coreProperties>
</file>